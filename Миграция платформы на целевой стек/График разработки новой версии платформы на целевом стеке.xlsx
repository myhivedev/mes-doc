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Repos\sigma\mes-doc\platform\"/>
    </mc:Choice>
  </mc:AlternateContent>
  <xr:revisionPtr revIDLastSave="0" documentId="13_ncr:1_{53F03E23-C2C4-453B-99AC-6A84EE8DF39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График разработки модулей" sheetId="1" r:id="rId1"/>
    <sheet name="Праздники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1" i="1" l="1"/>
  <c r="H4" i="1"/>
  <c r="H3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2" i="1"/>
</calcChain>
</file>

<file path=xl/sharedStrings.xml><?xml version="1.0" encoding="utf-8"?>
<sst xmlns="http://schemas.openxmlformats.org/spreadsheetml/2006/main" count="126" uniqueCount="107">
  <si>
    <t>№</t>
  </si>
  <si>
    <t>Этап</t>
  </si>
  <si>
    <t>Краткое описание</t>
  </si>
  <si>
    <t>Результат</t>
  </si>
  <si>
    <t>Бэкенд (Java)</t>
  </si>
  <si>
    <t>Фронтенд (React)</t>
  </si>
  <si>
    <t>Трудоёмкость (ч/д)</t>
  </si>
  <si>
    <t>Дата начала</t>
  </si>
  <si>
    <t>Дата завершения</t>
  </si>
  <si>
    <t>Platform Core</t>
  </si>
  <si>
    <t>Базовое Java/Spring Boot ядро платформы</t>
  </si>
  <si>
    <t>Реализация общих технических компонентов: базовые типы, идентификаторы, ошибки, контексты выполнения, PostgreSQL, транзакции, persistence abstractions, общие API-контракты, механизм расширения</t>
  </si>
  <si>
    <t>Базовый Java/Spring Boot Foundation для остальных модулей</t>
  </si>
  <si>
    <t>Platform Context и Tenant Management</t>
  </si>
  <si>
    <t>Enterprise/Tenant, контекст предприятия и пользователя, области действия данных, tenant-aware execution, Central/Local scope</t>
  </si>
  <si>
    <t>Единый механизм контекста выполнения и изоляции tenant</t>
  </si>
  <si>
    <t>Интеграция с Identity Provider</t>
  </si>
  <si>
    <t>Интеграция с внешним Keycloak: OIDC/OAuth2, JWT, identity context, claims, получение пользовательской идентичности</t>
  </si>
  <si>
    <t>Авторизованный пользовательский контекст для API</t>
  </si>
  <si>
    <t>Модель ролей и разрешений</t>
  </si>
  <si>
    <t>Роли, permissions, привязка разрешений к операциям и объектам, Global/Local scope, enforcement authorization</t>
  </si>
  <si>
    <t>Универсальный механизм авторизации платформы</t>
  </si>
  <si>
    <t>Audit и History Foundation</t>
  </si>
  <si>
    <t>Общий механизм формирования и сохранения AuditRecord, контекст операции, пользователь, tenant, объект, результат операции</t>
  </si>
  <si>
    <t>Единый технический механизм аудита операций</t>
  </si>
  <si>
    <t>Developer Foundation</t>
  </si>
  <si>
    <t>Object Model / Object Runtime Foundation</t>
  </si>
  <si>
    <t>BusinessObjectContract, ObjectRuntimeDescriptor, registry типов, атрибуты, идентификаторы, связи, metadata, validation, lifecycle, polymorphism, TPH, owned collections, programmatic declaration MES-модулей</t>
  </si>
  <si>
    <t>MES-разработчик может программно объявить собственные типы объектов и использовать Object Runtime</t>
  </si>
  <si>
    <t>Universal CRUD Engine</t>
  </si>
  <si>
    <t>Универсальные операции List/Card/Create/Update/Delete, filtering, sorting, pagination, bulk operations, validation, tenant-aware access, mutation pipeline</t>
  </si>
  <si>
    <t>Универсальный CRUD для объектов платформы и MES-модулей</t>
  </si>
  <si>
    <t>Configuration Foundation</t>
  </si>
  <si>
    <t>Scopes, drafts, published versions, canonical artifacts, effective configuration, schema registry, baseline packages, configuration versions</t>
  </si>
  <si>
    <t>Полноценный механизм хранения и получения эффективной конфигурации без изменения Java-кода</t>
  </si>
  <si>
    <t>Reference Data / Value Sets Foundation</t>
  </si>
  <si>
    <t>ValueSet, элементы справочников, версии, scopes, effective set по модели Site → Tenant → Global, Data Editor API</t>
  </si>
  <si>
    <t>Универсальный механизм справочных данных</t>
  </si>
  <si>
    <t>Workflow Framework</t>
  </si>
  <si>
    <t>Technical Workflow Runtime: states, transitions, commands, guards/conditions, revisions, concurrency, instances, history, integration с Rules/Object Runtime/Audit/Events. Без BPMN</t>
  </si>
  <si>
    <t>Технический Workflow Framework для построения процессов MES-модулями</t>
  </si>
  <si>
    <t>Event &amp; Integration Foundation</t>
  </si>
  <si>
    <t>Event Model и Event Bus</t>
  </si>
  <si>
    <t>Унифицированный Event Envelope: Event ID, Event Type, Tenant, Object/Aggregate ID, Correlation/Causation ID, timestamp, version; Kafka integration</t>
  </si>
  <si>
    <t>Единая модель межмодульных и межконтурных событий</t>
  </si>
  <si>
    <t>Outbox / Inbox / Idempotency / Deduplication Foundation</t>
  </si>
  <si>
    <t>Transactional Outbox, Inbox, idempotency keys, deduplication, retries, DLQ, повторная обработка</t>
  </si>
  <si>
    <t>Надёжная обработка событий с семантикой at-least-once</t>
  </si>
  <si>
    <t>Integration Framework</t>
  </si>
  <si>
    <t>Универсальная модель integration endpoints, mappings, request/response, event integration, технические адаптеры. Без конкретных MES-интеграций</t>
  </si>
  <si>
    <t>Универсальный механизм интеграции платформы</t>
  </si>
  <si>
    <t>Distributed Platform</t>
  </si>
  <si>
    <t>Distributed Synchronization Foundation</t>
  </si>
  <si>
    <t>Local Sync Agent и Central Ingestion, buffering, retries, delivery state, ordering where required, idempotent processing, replay, recovery</t>
  </si>
  <si>
    <t>Надёжный механизм Local → Central при временной недоступности Central</t>
  </si>
  <si>
    <t>Central → Local Synchronization</t>
  </si>
  <si>
    <t>Доставка configuration packages, ValueSets, системных параметров и административных команд; versioning, validation, activation, rollback, redelivery</t>
  </si>
  <si>
    <t>Надёжный механизм Central → Local</t>
  </si>
  <si>
    <t>Platform Command &amp; Synchronization API</t>
  </si>
  <si>
    <t>API для публикации пакетов, состояния синхронизации, acknowledgement, version/compatibility information, команд и результатов их обработки</t>
  </si>
  <si>
    <t>Формальный API-контракт распределённой платформы</t>
  </si>
  <si>
    <t>Admin</t>
  </si>
  <si>
    <t>Admin Backend — Global</t>
  </si>
  <si>
    <t>Global Administration: предприятия, tenants, системные параметры, роли, permissions, публикация и контроль состояния Local-контуров</t>
  </si>
  <si>
    <t>Независимый Global Admin API</t>
  </si>
  <si>
    <t>Admin Backend — Local</t>
  </si>
  <si>
    <t>Local Administration с ограничением области действия собственным предприятием</t>
  </si>
  <si>
    <t>Независимый Local Admin API</t>
  </si>
  <si>
    <t>Admin UI</t>
  </si>
  <si>
    <t>Полноценное React-приложение Admin: Global и Local режимы, управление предприятиями, tenant, пользователями, ролями, permissions, параметрами</t>
  </si>
  <si>
    <t>Независимый React Admin Application, работающий только со своим API</t>
  </si>
  <si>
    <t>Studio</t>
  </si>
  <si>
    <t>Studio Backend</t>
  </si>
  <si>
    <t>API технического конфигуратора: Object Model, Workflow definitions, ValueSets, Settings, mappings, integration endpoints, UI settings, feature flags, drafts и versions</t>
  </si>
  <si>
    <t>Независимый Studio API</t>
  </si>
  <si>
    <t>Studio UI</t>
  </si>
  <si>
    <t>Полноценный React-конфигуратор для технических специалистов: редактирование поддерживаемых артефактов, drafts, versions, validation, публикация</t>
  </si>
  <si>
    <t>Независимое React Studio Application</t>
  </si>
  <si>
    <t>Configuration Publication &amp; Activation</t>
  </si>
  <si>
    <t>Draft → validation → version → publish → package → Central → Local → validation → activation; rollback и redelivery</t>
  </si>
  <si>
    <t>Полный жизненный цикл конфигурации от Studio до Runtime Local-контура</t>
  </si>
  <si>
    <t>Execution</t>
  </si>
  <si>
    <t>Execution Backend — Platform Foundation</t>
  </si>
  <si>
    <t>Независимый Runtime API: Object Runtime, effective configuration, permissions, Workflow runtime, events, integrations, user context. Без MES-функциональности</t>
  </si>
  <si>
    <t>Независимый Execution/Runtime API платформы</t>
  </si>
  <si>
    <t>Execution UI — Platform Foundation</t>
  </si>
  <si>
    <t>React Runtime UI: application shell, navigation, authentication context, platform UI components, configuration-driven UI contracts, extension points</t>
  </si>
  <si>
    <t>Независимое React Execution Application</t>
  </si>
  <si>
    <t>MES Extension Platform</t>
  </si>
  <si>
    <t>Platform SDK / MES Module Extension API</t>
  </si>
  <si>
    <t>Публичный developer API: регистрация модулей, объектов, CRUD, Workflow, Events, permissions, configuration, ValueSets, integrations, audit, UI extensions</t>
  </si>
  <si>
    <t>Формализованный SDK/API для разработки MES-модулей поверх Platform Foundation</t>
  </si>
  <si>
    <t>Cross-Contour Integration</t>
  </si>
  <si>
    <t>Cross-Application Platform Integration</t>
  </si>
  <si>
    <t>Интеграция независимых Admin/Studio/Execution приложений через строго определённые API и события; исключение прямого доступа приложений к чужим API</t>
  </si>
  <si>
    <t>Независимые приложения образуют единую платформу без нарушения API boundaries</t>
  </si>
  <si>
    <t>Central–Local Platform Integration</t>
  </si>
  <si>
    <t>Platform Developer Extension Layer</t>
  </si>
  <si>
    <t>Финализация extension mechanism: module registration, dependencies, metadata, object types, permissions, workflows, events, configuration sections, UI extensions</t>
  </si>
  <si>
    <t>Завершённый механизм подключения будущих MES-модулей без изменения Platform Foundation</t>
  </si>
  <si>
    <t>Platform Foundation Release</t>
  </si>
  <si>
    <t>Сборка законченного Platform Foundation</t>
  </si>
  <si>
    <t>Функциональная сборка всех разработанных компонентов: Central Platform, Local Platform, Admin, Studio, Execution, SDK и Central↔Local interaction</t>
  </si>
  <si>
    <t>Первый законченный функциональный Platform Foundation, готовый как основа для разработки MES</t>
  </si>
  <si>
    <t>Группа</t>
  </si>
  <si>
    <t>Сквозной обмен Central ↔ Local: configuration packages, ValueSets, parameters, commands, events, synchronization state, acknowledgements, recovery</t>
  </si>
  <si>
    <t>Полностью работающий распределённый контур Central ↔ Local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</si>
</sst>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14" fontId="0" fillId="0" borderId="0" xfId="0" applyNumberFormat="1"/>
    <xf numFmtId="1" fontId="1" fillId="2" borderId="0" xfId="0" applyNumberFormat="1" applyFont="1" applyFill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0" fillId="0" borderId="0" xfId="0" applyNumberFormat="1"/>
    <xf numFmtId="1" fontId="1" fillId="0" borderId="0" xfId="0" applyNumberFormat="1" applyFont="1"/>
    <xf numFmtId="0" fontId="0" fillId="0" borderId="0" xfId="0" applyAlignment="1">
      <alignment horizontal="center" vertical="center" wrapText="1"/>
    </xf>
    <xf numFmtId="14" fontId="1" fillId="2" borderId="0" xfId="0" applyNumberFormat="1" applyFont="1" applyFill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0" fontId="0" fillId="3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M31"/>
  <sheetViews>
    <sheetView tabSelected="1" zoomScaleNormal="100" workbookViewId="0">
      <selection activeCell="K2" sqref="K2"/>
    </sheetView>
  </sheetViews>
  <sheetFormatPr defaultRowHeight="15" x14ac:dyDescent="0.25"/>
  <cols>
    <col min="1" max="1" width="9.140625" style="3"/>
    <col min="2" max="2" width="29.28515625" style="3" bestFit="1" customWidth="1"/>
    <col min="3" max="3" width="41.140625" style="2" customWidth="1"/>
    <col min="4" max="4" width="43.7109375" style="1" customWidth="1"/>
    <col min="5" max="5" width="39" style="1" customWidth="1"/>
    <col min="6" max="6" width="13.28515625" bestFit="1" customWidth="1"/>
    <col min="7" max="7" width="17" bestFit="1" customWidth="1"/>
    <col min="8" max="8" width="19" style="10" bestFit="1" customWidth="1"/>
    <col min="9" max="9" width="12" bestFit="1" customWidth="1"/>
    <col min="10" max="10" width="17" bestFit="1" customWidth="1"/>
    <col min="11" max="117" width="10.140625" bestFit="1" customWidth="1"/>
  </cols>
  <sheetData>
    <row r="1" spans="1:117" x14ac:dyDescent="0.25">
      <c r="A1" s="4" t="s">
        <v>0</v>
      </c>
      <c r="B1" s="4" t="s">
        <v>104</v>
      </c>
      <c r="C1" s="4" t="s">
        <v>1</v>
      </c>
      <c r="D1" s="5" t="s">
        <v>2</v>
      </c>
      <c r="E1" s="5" t="s">
        <v>3</v>
      </c>
      <c r="F1" s="4" t="s">
        <v>4</v>
      </c>
      <c r="G1" s="4" t="s">
        <v>5</v>
      </c>
      <c r="H1" s="8" t="s">
        <v>6</v>
      </c>
      <c r="I1" s="4" t="s">
        <v>7</v>
      </c>
      <c r="J1" s="4" t="s">
        <v>8</v>
      </c>
      <c r="K1" s="13">
        <v>46286</v>
      </c>
      <c r="L1" s="13">
        <v>46287</v>
      </c>
      <c r="M1" s="13">
        <v>46288</v>
      </c>
      <c r="N1" s="13">
        <v>46289</v>
      </c>
      <c r="O1" s="13">
        <v>46290</v>
      </c>
      <c r="P1" s="13">
        <v>46291</v>
      </c>
      <c r="Q1" s="13">
        <v>46292</v>
      </c>
      <c r="R1" s="13">
        <v>46293</v>
      </c>
      <c r="S1" s="13">
        <v>46294</v>
      </c>
      <c r="T1" s="13">
        <v>46295</v>
      </c>
      <c r="U1" s="13">
        <v>46296</v>
      </c>
      <c r="V1" s="13">
        <v>46297</v>
      </c>
      <c r="W1" s="13">
        <v>46298</v>
      </c>
      <c r="X1" s="13">
        <v>46299</v>
      </c>
      <c r="Y1" s="13">
        <v>46300</v>
      </c>
      <c r="Z1" s="13">
        <v>46301</v>
      </c>
      <c r="AA1" s="13">
        <v>46302</v>
      </c>
      <c r="AB1" s="13">
        <v>46303</v>
      </c>
      <c r="AC1" s="13">
        <v>46304</v>
      </c>
      <c r="AD1" s="13">
        <v>46305</v>
      </c>
      <c r="AE1" s="13">
        <v>46306</v>
      </c>
      <c r="AF1" s="13">
        <v>46307</v>
      </c>
      <c r="AG1" s="13">
        <v>46308</v>
      </c>
      <c r="AH1" s="13">
        <v>46309</v>
      </c>
      <c r="AI1" s="13">
        <v>46310</v>
      </c>
      <c r="AJ1" s="13">
        <v>46311</v>
      </c>
      <c r="AK1" s="13">
        <v>46312</v>
      </c>
      <c r="AL1" s="13">
        <v>46313</v>
      </c>
      <c r="AM1" s="13">
        <v>46314</v>
      </c>
      <c r="AN1" s="13">
        <v>46315</v>
      </c>
      <c r="AO1" s="13">
        <v>46316</v>
      </c>
      <c r="AP1" s="13">
        <v>46317</v>
      </c>
      <c r="AQ1" s="13">
        <v>46318</v>
      </c>
      <c r="AR1" s="13">
        <v>46319</v>
      </c>
      <c r="AS1" s="13">
        <v>46320</v>
      </c>
      <c r="AT1" s="13">
        <v>46321</v>
      </c>
      <c r="AU1" s="13">
        <v>46322</v>
      </c>
      <c r="AV1" s="13">
        <v>46323</v>
      </c>
      <c r="AW1" s="13">
        <v>46324</v>
      </c>
      <c r="AX1" s="13">
        <v>46325</v>
      </c>
      <c r="AY1" s="13">
        <v>46326</v>
      </c>
      <c r="AZ1" s="13">
        <v>46327</v>
      </c>
      <c r="BA1" s="13">
        <v>46328</v>
      </c>
      <c r="BB1" s="13">
        <v>46329</v>
      </c>
      <c r="BC1" s="13">
        <v>46330</v>
      </c>
      <c r="BD1" s="13">
        <v>46331</v>
      </c>
      <c r="BE1" s="13">
        <v>46332</v>
      </c>
      <c r="BF1" s="13">
        <v>46333</v>
      </c>
      <c r="BG1" s="13">
        <v>46334</v>
      </c>
      <c r="BH1" s="13">
        <v>46335</v>
      </c>
      <c r="BI1" s="13">
        <v>46336</v>
      </c>
      <c r="BJ1" s="13">
        <v>46337</v>
      </c>
      <c r="BK1" s="13">
        <v>46338</v>
      </c>
      <c r="BL1" s="13">
        <v>46339</v>
      </c>
      <c r="BM1" s="13">
        <v>46340</v>
      </c>
      <c r="BN1" s="13">
        <v>46341</v>
      </c>
      <c r="BO1" s="13">
        <v>46342</v>
      </c>
      <c r="BP1" s="13">
        <v>46343</v>
      </c>
      <c r="BQ1" s="13">
        <v>46344</v>
      </c>
      <c r="BR1" s="13">
        <v>46345</v>
      </c>
      <c r="BS1" s="13">
        <v>46346</v>
      </c>
      <c r="BT1" s="13">
        <v>46347</v>
      </c>
      <c r="BU1" s="13">
        <v>46348</v>
      </c>
      <c r="BV1" s="13">
        <v>46349</v>
      </c>
      <c r="BW1" s="13">
        <v>46350</v>
      </c>
      <c r="BX1" s="13">
        <v>46351</v>
      </c>
      <c r="BY1" s="13">
        <v>46352</v>
      </c>
      <c r="BZ1" s="13">
        <v>46353</v>
      </c>
      <c r="CA1" s="13">
        <v>46354</v>
      </c>
      <c r="CB1" s="13">
        <v>46355</v>
      </c>
      <c r="CC1" s="13">
        <v>46356</v>
      </c>
      <c r="CD1" s="13">
        <v>46357</v>
      </c>
      <c r="CE1" s="13">
        <v>46358</v>
      </c>
      <c r="CF1" s="13">
        <v>46359</v>
      </c>
      <c r="CG1" s="13">
        <v>46360</v>
      </c>
      <c r="CH1" s="13">
        <v>46361</v>
      </c>
      <c r="CI1" s="13">
        <v>46362</v>
      </c>
      <c r="CJ1" s="13">
        <v>46363</v>
      </c>
      <c r="CK1" s="13">
        <v>46364</v>
      </c>
      <c r="CL1" s="13">
        <v>46365</v>
      </c>
      <c r="CM1" s="13">
        <v>46366</v>
      </c>
      <c r="CN1" s="13">
        <v>46367</v>
      </c>
      <c r="CO1" s="13">
        <v>46368</v>
      </c>
      <c r="CP1" s="13">
        <v>46369</v>
      </c>
      <c r="CQ1" s="13">
        <v>46370</v>
      </c>
      <c r="CR1" s="13">
        <v>46371</v>
      </c>
      <c r="CS1" s="13">
        <v>46372</v>
      </c>
      <c r="CT1" s="13">
        <v>46373</v>
      </c>
      <c r="CU1" s="13">
        <v>46374</v>
      </c>
      <c r="CV1" s="13">
        <v>46375</v>
      </c>
      <c r="CW1" s="13">
        <v>46376</v>
      </c>
      <c r="CX1" s="13">
        <v>46377</v>
      </c>
      <c r="CY1" s="13">
        <v>46378</v>
      </c>
      <c r="CZ1" s="13">
        <v>46379</v>
      </c>
      <c r="DA1" s="13">
        <v>46380</v>
      </c>
      <c r="DB1" s="13">
        <v>46381</v>
      </c>
      <c r="DC1" s="13">
        <v>46382</v>
      </c>
      <c r="DD1" s="13">
        <v>46383</v>
      </c>
      <c r="DE1" s="13">
        <v>46384</v>
      </c>
      <c r="DF1" s="13">
        <v>46385</v>
      </c>
      <c r="DG1" s="13">
        <v>46386</v>
      </c>
      <c r="DH1" s="13">
        <v>46387</v>
      </c>
      <c r="DI1" s="14"/>
      <c r="DJ1" s="14"/>
      <c r="DK1" s="14"/>
      <c r="DL1" s="14"/>
      <c r="DM1" s="14"/>
    </row>
    <row r="2" spans="1:117" ht="90" x14ac:dyDescent="0.25">
      <c r="A2" s="3">
        <v>1</v>
      </c>
      <c r="B2" s="3" t="s">
        <v>9</v>
      </c>
      <c r="C2" s="12" t="s">
        <v>10</v>
      </c>
      <c r="D2" s="1" t="s">
        <v>11</v>
      </c>
      <c r="E2" s="1" t="s">
        <v>12</v>
      </c>
      <c r="F2" s="3">
        <v>2</v>
      </c>
      <c r="G2" s="3">
        <v>0</v>
      </c>
      <c r="H2" s="9">
        <f>NETWORKDAYS(I2,J2,Праздники!A1:A2)*(F2+G2)</f>
        <v>4</v>
      </c>
      <c r="I2" s="6">
        <v>46286</v>
      </c>
      <c r="J2" s="6">
        <v>46287</v>
      </c>
      <c r="K2" s="15"/>
      <c r="L2" s="15"/>
    </row>
    <row r="3" spans="1:117" ht="45" x14ac:dyDescent="0.25">
      <c r="A3" s="3">
        <v>2</v>
      </c>
      <c r="B3" s="3" t="s">
        <v>9</v>
      </c>
      <c r="C3" s="12" t="s">
        <v>13</v>
      </c>
      <c r="D3" s="1" t="s">
        <v>14</v>
      </c>
      <c r="E3" s="1" t="s">
        <v>15</v>
      </c>
      <c r="F3" s="3">
        <v>1</v>
      </c>
      <c r="G3" s="3">
        <v>0</v>
      </c>
      <c r="H3" s="9">
        <f>NETWORKDAYS(I3,J3,Праздники!A1:A3)*(F3+G3)</f>
        <v>3</v>
      </c>
      <c r="I3" s="6">
        <v>46308</v>
      </c>
      <c r="J3" s="6">
        <v>46310</v>
      </c>
      <c r="AG3" s="15"/>
      <c r="AH3" s="15"/>
      <c r="AI3" s="15"/>
    </row>
    <row r="4" spans="1:117" ht="45" x14ac:dyDescent="0.25">
      <c r="A4" s="3">
        <v>3</v>
      </c>
      <c r="B4" s="3" t="s">
        <v>9</v>
      </c>
      <c r="C4" s="12" t="s">
        <v>16</v>
      </c>
      <c r="D4" s="1" t="s">
        <v>17</v>
      </c>
      <c r="E4" s="1" t="s">
        <v>18</v>
      </c>
      <c r="F4" s="3">
        <v>1</v>
      </c>
      <c r="G4" s="3">
        <v>0</v>
      </c>
      <c r="H4" s="9">
        <f>NETWORKDAYS(I4,J4,Праздники!A1:A4)*(F4+G4)</f>
        <v>2</v>
      </c>
      <c r="I4" s="6">
        <v>46308</v>
      </c>
      <c r="J4" s="6">
        <v>46309</v>
      </c>
      <c r="AG4" s="15"/>
      <c r="AH4" s="15"/>
    </row>
    <row r="5" spans="1:117" ht="45" x14ac:dyDescent="0.25">
      <c r="A5" s="3">
        <v>4</v>
      </c>
      <c r="B5" s="3" t="s">
        <v>9</v>
      </c>
      <c r="C5" s="12" t="s">
        <v>19</v>
      </c>
      <c r="D5" s="1" t="s">
        <v>20</v>
      </c>
      <c r="E5" s="1" t="s">
        <v>21</v>
      </c>
      <c r="F5" s="3">
        <v>2</v>
      </c>
      <c r="G5" s="3">
        <v>0</v>
      </c>
      <c r="H5" s="9">
        <f>NETWORKDAYS(I5,J5,Праздники!A4:A5)*(F5+G5)</f>
        <v>8</v>
      </c>
      <c r="I5" s="6">
        <v>46329</v>
      </c>
      <c r="J5" s="6">
        <v>46332</v>
      </c>
      <c r="BB5" s="15"/>
      <c r="BC5" s="15"/>
      <c r="BD5" s="15"/>
      <c r="BE5" s="15"/>
    </row>
    <row r="6" spans="1:117" ht="60" x14ac:dyDescent="0.25">
      <c r="A6" s="3">
        <v>5</v>
      </c>
      <c r="B6" s="3" t="s">
        <v>9</v>
      </c>
      <c r="C6" s="12" t="s">
        <v>22</v>
      </c>
      <c r="D6" s="1" t="s">
        <v>23</v>
      </c>
      <c r="E6" s="1" t="s">
        <v>24</v>
      </c>
      <c r="F6" s="3">
        <v>1</v>
      </c>
      <c r="G6" s="3">
        <v>0</v>
      </c>
      <c r="H6" s="9">
        <f>NETWORKDAYS(I6,J6,Праздники!A5:A6)*(F6+G6)</f>
        <v>3</v>
      </c>
      <c r="I6" s="6">
        <v>46310</v>
      </c>
      <c r="J6" s="6">
        <v>46314</v>
      </c>
      <c r="AI6" s="15"/>
      <c r="AJ6" s="15"/>
      <c r="AK6" s="15"/>
      <c r="AL6" s="15"/>
      <c r="AM6" s="15"/>
    </row>
    <row r="7" spans="1:117" ht="90" x14ac:dyDescent="0.25">
      <c r="A7" s="3">
        <v>6</v>
      </c>
      <c r="B7" s="3" t="s">
        <v>25</v>
      </c>
      <c r="C7" s="12" t="s">
        <v>26</v>
      </c>
      <c r="D7" s="1" t="s">
        <v>27</v>
      </c>
      <c r="E7" s="1" t="s">
        <v>28</v>
      </c>
      <c r="F7" s="3">
        <v>2</v>
      </c>
      <c r="G7" s="3">
        <v>0</v>
      </c>
      <c r="H7" s="9">
        <f>NETWORKDAYS(I7,J7,Праздники!A6:A7)*(F7+G7)</f>
        <v>10</v>
      </c>
      <c r="I7" s="6">
        <v>46288</v>
      </c>
      <c r="J7" s="6">
        <v>46294</v>
      </c>
      <c r="M7" s="15"/>
      <c r="N7" s="15"/>
      <c r="O7" s="15"/>
      <c r="P7" s="15"/>
      <c r="Q7" s="15"/>
      <c r="R7" s="15"/>
    </row>
    <row r="8" spans="1:117" ht="75" x14ac:dyDescent="0.25">
      <c r="A8" s="3">
        <v>7</v>
      </c>
      <c r="B8" s="3" t="s">
        <v>25</v>
      </c>
      <c r="C8" s="12" t="s">
        <v>29</v>
      </c>
      <c r="D8" s="1" t="s">
        <v>30</v>
      </c>
      <c r="E8" s="1" t="s">
        <v>31</v>
      </c>
      <c r="F8" s="3">
        <v>2</v>
      </c>
      <c r="G8" s="3">
        <v>0</v>
      </c>
      <c r="H8" s="9">
        <f>NETWORKDAYS(I8,J8,Праздники!A7:A8)*(F8+G8)</f>
        <v>8</v>
      </c>
      <c r="I8" s="6">
        <v>46302</v>
      </c>
      <c r="J8" s="6">
        <v>46307</v>
      </c>
      <c r="AA8" s="15"/>
      <c r="AB8" s="15"/>
      <c r="AC8" s="15"/>
      <c r="AD8" s="15"/>
      <c r="AE8" s="15"/>
      <c r="AF8" s="15"/>
    </row>
    <row r="9" spans="1:117" ht="60" x14ac:dyDescent="0.25">
      <c r="A9" s="3">
        <v>8</v>
      </c>
      <c r="B9" s="3" t="s">
        <v>25</v>
      </c>
      <c r="C9" s="12" t="s">
        <v>32</v>
      </c>
      <c r="D9" s="1" t="s">
        <v>33</v>
      </c>
      <c r="E9" s="1" t="s">
        <v>34</v>
      </c>
      <c r="F9" s="3">
        <v>1</v>
      </c>
      <c r="G9" s="3">
        <v>0</v>
      </c>
      <c r="H9" s="9">
        <f>NETWORKDAYS(I9,J9,Праздники!A8:A9)*(F9+G9)</f>
        <v>4</v>
      </c>
      <c r="I9" s="6">
        <v>46301</v>
      </c>
      <c r="J9" s="6">
        <v>46304</v>
      </c>
      <c r="Z9" s="15"/>
      <c r="AA9" s="15"/>
      <c r="AB9" s="15"/>
      <c r="AC9" s="15"/>
    </row>
    <row r="10" spans="1:117" ht="45" x14ac:dyDescent="0.25">
      <c r="A10" s="3">
        <v>9</v>
      </c>
      <c r="B10" s="3" t="s">
        <v>25</v>
      </c>
      <c r="C10" s="12" t="s">
        <v>35</v>
      </c>
      <c r="D10" s="1" t="s">
        <v>36</v>
      </c>
      <c r="E10" s="1" t="s">
        <v>37</v>
      </c>
      <c r="F10" s="3">
        <v>1</v>
      </c>
      <c r="G10" s="3">
        <v>0</v>
      </c>
      <c r="H10" s="9">
        <f>NETWORKDAYS(I10,J10,Праздники!A9:A10)*(F10+G10)</f>
        <v>4</v>
      </c>
      <c r="I10" s="6">
        <v>46301</v>
      </c>
      <c r="J10" s="6">
        <v>46304</v>
      </c>
      <c r="Z10" s="15"/>
      <c r="AA10" s="15"/>
      <c r="AB10" s="15"/>
      <c r="AC10" s="15"/>
    </row>
    <row r="11" spans="1:117" ht="75" x14ac:dyDescent="0.25">
      <c r="A11" s="3">
        <v>10</v>
      </c>
      <c r="B11" s="3" t="s">
        <v>25</v>
      </c>
      <c r="C11" s="12" t="s">
        <v>38</v>
      </c>
      <c r="D11" s="1" t="s">
        <v>39</v>
      </c>
      <c r="E11" s="1" t="s">
        <v>40</v>
      </c>
      <c r="F11" s="3">
        <v>2</v>
      </c>
      <c r="G11" s="3">
        <v>0</v>
      </c>
      <c r="H11" s="9">
        <f>NETWORKDAYS(I11,J11,Праздники!A10:A11)*(F11+G11)</f>
        <v>10</v>
      </c>
      <c r="I11" s="6">
        <v>46307</v>
      </c>
      <c r="J11" s="6">
        <v>46311</v>
      </c>
      <c r="AF11" s="15"/>
      <c r="AG11" s="15"/>
      <c r="AH11" s="15"/>
      <c r="AI11" s="15"/>
      <c r="AJ11" s="15"/>
    </row>
    <row r="12" spans="1:117" ht="60" x14ac:dyDescent="0.25">
      <c r="A12" s="3">
        <v>11</v>
      </c>
      <c r="B12" s="3" t="s">
        <v>41</v>
      </c>
      <c r="C12" s="12" t="s">
        <v>42</v>
      </c>
      <c r="D12" s="1" t="s">
        <v>43</v>
      </c>
      <c r="E12" s="1" t="s">
        <v>44</v>
      </c>
      <c r="F12" s="3">
        <v>2</v>
      </c>
      <c r="G12" s="3">
        <v>0</v>
      </c>
      <c r="H12" s="9">
        <f>NETWORKDAYS(I12,J12,Праздники!A11:A12)*(F12+G12)</f>
        <v>10</v>
      </c>
      <c r="I12" s="6">
        <v>46288</v>
      </c>
      <c r="J12" s="6">
        <v>46294</v>
      </c>
      <c r="M12" s="15"/>
      <c r="N12" s="15"/>
      <c r="O12" s="15"/>
      <c r="P12" s="15"/>
      <c r="Q12" s="15"/>
      <c r="R12" s="15"/>
      <c r="S12" s="15"/>
    </row>
    <row r="13" spans="1:117" ht="45" x14ac:dyDescent="0.25">
      <c r="A13" s="3">
        <v>12</v>
      </c>
      <c r="B13" s="3" t="s">
        <v>41</v>
      </c>
      <c r="C13" s="12" t="s">
        <v>45</v>
      </c>
      <c r="D13" s="1" t="s">
        <v>46</v>
      </c>
      <c r="E13" s="1" t="s">
        <v>47</v>
      </c>
      <c r="F13" s="3">
        <v>2</v>
      </c>
      <c r="G13" s="3">
        <v>0</v>
      </c>
      <c r="H13" s="9">
        <f>NETWORKDAYS(I13,J13,Праздники!A12:A13)*(F13+G13)</f>
        <v>8</v>
      </c>
      <c r="I13" s="6">
        <v>46295</v>
      </c>
      <c r="J13" s="6">
        <v>46300</v>
      </c>
      <c r="T13" s="15"/>
      <c r="U13" s="15"/>
      <c r="V13" s="15"/>
      <c r="W13" s="15"/>
      <c r="X13" s="15"/>
      <c r="Y13" s="15"/>
    </row>
    <row r="14" spans="1:117" ht="60" x14ac:dyDescent="0.25">
      <c r="A14" s="3">
        <v>13</v>
      </c>
      <c r="B14" s="3" t="s">
        <v>41</v>
      </c>
      <c r="C14" s="12" t="s">
        <v>48</v>
      </c>
      <c r="D14" s="1" t="s">
        <v>49</v>
      </c>
      <c r="E14" s="1" t="s">
        <v>50</v>
      </c>
      <c r="F14" s="3">
        <v>2</v>
      </c>
      <c r="G14" s="3">
        <v>0</v>
      </c>
      <c r="H14" s="9">
        <f>NETWORKDAYS(I14,J14,Праздники!A13:A14)*(F14+G14)</f>
        <v>10</v>
      </c>
      <c r="I14" s="6">
        <v>46295</v>
      </c>
      <c r="J14" s="6">
        <v>46301</v>
      </c>
      <c r="T14" s="15"/>
      <c r="U14" s="15"/>
      <c r="V14" s="15"/>
      <c r="W14" s="15"/>
      <c r="X14" s="15"/>
      <c r="Y14" s="15"/>
      <c r="Z14" s="15"/>
    </row>
    <row r="15" spans="1:117" ht="60" x14ac:dyDescent="0.25">
      <c r="A15" s="3">
        <v>14</v>
      </c>
      <c r="B15" s="3" t="s">
        <v>51</v>
      </c>
      <c r="C15" s="12" t="s">
        <v>52</v>
      </c>
      <c r="D15" s="1" t="s">
        <v>53</v>
      </c>
      <c r="E15" s="1" t="s">
        <v>54</v>
      </c>
      <c r="F15" s="3">
        <v>3</v>
      </c>
      <c r="G15" s="3">
        <v>0</v>
      </c>
      <c r="H15" s="9">
        <f>NETWORKDAYS(I15,J15,Праздники!A14:A15)*(F15+G15)</f>
        <v>18</v>
      </c>
      <c r="I15" s="6">
        <v>46314</v>
      </c>
      <c r="J15" s="6">
        <v>46321</v>
      </c>
      <c r="AM15" s="15"/>
      <c r="AN15" s="15"/>
      <c r="AO15" s="15"/>
      <c r="AP15" s="15"/>
      <c r="AQ15" s="15"/>
      <c r="AR15" s="15"/>
      <c r="AS15" s="15"/>
      <c r="AT15" s="15"/>
    </row>
    <row r="16" spans="1:117" ht="60" x14ac:dyDescent="0.25">
      <c r="A16" s="3">
        <v>15</v>
      </c>
      <c r="B16" s="3" t="s">
        <v>51</v>
      </c>
      <c r="C16" s="12" t="s">
        <v>55</v>
      </c>
      <c r="D16" s="1" t="s">
        <v>56</v>
      </c>
      <c r="E16" s="1" t="s">
        <v>57</v>
      </c>
      <c r="F16" s="3">
        <v>2</v>
      </c>
      <c r="G16" s="3">
        <v>0</v>
      </c>
      <c r="H16" s="9">
        <f>NETWORKDAYS(I16,J16,Праздники!A15:A16)*(F16+G16)</f>
        <v>10</v>
      </c>
      <c r="I16" s="6">
        <v>46322</v>
      </c>
      <c r="J16" s="6">
        <v>46328</v>
      </c>
      <c r="AU16" s="15"/>
      <c r="AV16" s="15"/>
      <c r="AW16" s="15"/>
      <c r="AX16" s="15"/>
      <c r="AY16" s="15"/>
      <c r="AZ16" s="15"/>
      <c r="BA16" s="15"/>
    </row>
    <row r="17" spans="1:106" ht="60" x14ac:dyDescent="0.25">
      <c r="A17" s="3">
        <v>16</v>
      </c>
      <c r="B17" s="3" t="s">
        <v>51</v>
      </c>
      <c r="C17" s="12" t="s">
        <v>58</v>
      </c>
      <c r="D17" s="1" t="s">
        <v>59</v>
      </c>
      <c r="E17" s="1" t="s">
        <v>60</v>
      </c>
      <c r="F17" s="3">
        <v>1</v>
      </c>
      <c r="G17" s="3">
        <v>0</v>
      </c>
      <c r="H17" s="9">
        <f>NETWORKDAYS(I17,J17,Праздники!A16:A17)*(F17+G17)</f>
        <v>4</v>
      </c>
      <c r="I17" s="6">
        <v>46331</v>
      </c>
      <c r="J17" s="6">
        <v>46336</v>
      </c>
      <c r="BD17" s="15"/>
      <c r="BE17" s="15"/>
      <c r="BF17" s="15"/>
      <c r="BG17" s="15"/>
      <c r="BH17" s="15"/>
      <c r="BI17" s="15"/>
    </row>
    <row r="18" spans="1:106" ht="60" x14ac:dyDescent="0.25">
      <c r="A18" s="3">
        <v>17</v>
      </c>
      <c r="B18" s="3" t="s">
        <v>61</v>
      </c>
      <c r="C18" s="12" t="s">
        <v>62</v>
      </c>
      <c r="D18" s="1" t="s">
        <v>63</v>
      </c>
      <c r="E18" s="1" t="s">
        <v>64</v>
      </c>
      <c r="F18" s="3">
        <v>2</v>
      </c>
      <c r="G18" s="3">
        <v>0</v>
      </c>
      <c r="H18" s="9">
        <f>NETWORKDAYS(I18,J18,Праздники!A17:A18)*(F18+G18)</f>
        <v>10</v>
      </c>
      <c r="I18" s="6">
        <v>46335</v>
      </c>
      <c r="J18" s="6">
        <v>46339</v>
      </c>
      <c r="BH18" s="15"/>
      <c r="BI18" s="15"/>
      <c r="BJ18" s="15"/>
      <c r="BK18" s="15"/>
      <c r="BL18" s="15"/>
    </row>
    <row r="19" spans="1:106" ht="30" x14ac:dyDescent="0.25">
      <c r="A19" s="3">
        <v>18</v>
      </c>
      <c r="B19" s="3" t="s">
        <v>61</v>
      </c>
      <c r="C19" s="12" t="s">
        <v>65</v>
      </c>
      <c r="D19" s="1" t="s">
        <v>66</v>
      </c>
      <c r="E19" s="1" t="s">
        <v>67</v>
      </c>
      <c r="F19" s="3">
        <v>2</v>
      </c>
      <c r="G19" s="3">
        <v>0</v>
      </c>
      <c r="H19" s="9">
        <f>NETWORKDAYS(I19,J19,Праздники!A18:A19)*(F19+G19)</f>
        <v>8</v>
      </c>
      <c r="I19" s="6">
        <v>46342</v>
      </c>
      <c r="J19" s="6">
        <v>46345</v>
      </c>
      <c r="BO19" s="15"/>
      <c r="BP19" s="15"/>
      <c r="BQ19" s="15"/>
      <c r="BR19" s="15"/>
    </row>
    <row r="20" spans="1:106" ht="60" x14ac:dyDescent="0.25">
      <c r="A20" s="3">
        <v>19</v>
      </c>
      <c r="B20" s="3" t="s">
        <v>61</v>
      </c>
      <c r="C20" s="12" t="s">
        <v>68</v>
      </c>
      <c r="D20" s="1" t="s">
        <v>69</v>
      </c>
      <c r="E20" s="1" t="s">
        <v>70</v>
      </c>
      <c r="F20" s="3">
        <v>1</v>
      </c>
      <c r="G20" s="3">
        <v>2</v>
      </c>
      <c r="H20" s="9">
        <f>NETWORKDAYS(I20,J20,Праздники!A19:A20)*(F20+G20)</f>
        <v>21</v>
      </c>
      <c r="I20" s="6">
        <v>46346</v>
      </c>
      <c r="J20" s="6">
        <v>46356</v>
      </c>
      <c r="BS20" s="15"/>
      <c r="BT20" s="15"/>
      <c r="BU20" s="15"/>
      <c r="BV20" s="15"/>
      <c r="BW20" s="15"/>
      <c r="BX20" s="15"/>
      <c r="BY20" s="15"/>
      <c r="BZ20" s="15"/>
      <c r="CA20" s="15"/>
      <c r="CB20" s="15"/>
      <c r="CC20" s="15"/>
    </row>
    <row r="21" spans="1:106" ht="60" x14ac:dyDescent="0.25">
      <c r="A21" s="3">
        <v>20</v>
      </c>
      <c r="B21" s="3" t="s">
        <v>71</v>
      </c>
      <c r="C21" s="12" t="s">
        <v>72</v>
      </c>
      <c r="D21" s="1" t="s">
        <v>73</v>
      </c>
      <c r="E21" s="1" t="s">
        <v>74</v>
      </c>
      <c r="F21" s="3">
        <v>2</v>
      </c>
      <c r="G21" s="3">
        <v>0</v>
      </c>
      <c r="H21" s="9">
        <f>NETWORKDAYS(I21,J21,Праздники!A20:A21)*(F21+G21)</f>
        <v>12</v>
      </c>
      <c r="I21" s="6">
        <v>46322</v>
      </c>
      <c r="J21" s="6">
        <v>46329</v>
      </c>
      <c r="AU21" s="15"/>
      <c r="AV21" s="15"/>
      <c r="AW21" s="15"/>
      <c r="AX21" s="15"/>
      <c r="AY21" s="15"/>
      <c r="AZ21" s="15"/>
      <c r="BA21" s="15"/>
      <c r="BB21" s="15"/>
    </row>
    <row r="22" spans="1:106" ht="60" x14ac:dyDescent="0.25">
      <c r="A22" s="3">
        <v>21</v>
      </c>
      <c r="B22" s="3" t="s">
        <v>71</v>
      </c>
      <c r="C22" s="12" t="s">
        <v>75</v>
      </c>
      <c r="D22" s="1" t="s">
        <v>76</v>
      </c>
      <c r="E22" s="1" t="s">
        <v>77</v>
      </c>
      <c r="F22" s="3">
        <v>1</v>
      </c>
      <c r="G22" s="3">
        <v>2</v>
      </c>
      <c r="H22" s="9">
        <f>NETWORKDAYS(I22,J22,Праздники!A21:A22)*(F22+G22)</f>
        <v>24</v>
      </c>
      <c r="I22" s="6">
        <v>46331</v>
      </c>
      <c r="J22" s="6">
        <v>46342</v>
      </c>
      <c r="BD22" s="15"/>
      <c r="BE22" s="15"/>
      <c r="BF22" s="15"/>
      <c r="BG22" s="15"/>
      <c r="BH22" s="15"/>
      <c r="BI22" s="15"/>
      <c r="BJ22" s="15"/>
      <c r="BK22" s="15"/>
      <c r="BL22" s="15"/>
      <c r="BM22" s="15"/>
      <c r="BN22" s="15"/>
      <c r="BO22" s="15"/>
    </row>
    <row r="23" spans="1:106" ht="45" x14ac:dyDescent="0.25">
      <c r="A23" s="3">
        <v>22</v>
      </c>
      <c r="B23" s="3" t="s">
        <v>71</v>
      </c>
      <c r="C23" s="12" t="s">
        <v>78</v>
      </c>
      <c r="D23" s="1" t="s">
        <v>79</v>
      </c>
      <c r="E23" s="1" t="s">
        <v>80</v>
      </c>
      <c r="F23" s="3">
        <v>2</v>
      </c>
      <c r="G23" s="3">
        <v>1</v>
      </c>
      <c r="H23" s="9">
        <f>NETWORKDAYS(I23,J23,Праздники!A22:A23)*(F23+G23)</f>
        <v>12</v>
      </c>
      <c r="I23" s="6">
        <v>46358</v>
      </c>
      <c r="J23" s="6">
        <v>46363</v>
      </c>
      <c r="CE23" s="15"/>
      <c r="CF23" s="15"/>
      <c r="CG23" s="15"/>
      <c r="CH23" s="15"/>
      <c r="CI23" s="15"/>
      <c r="CJ23" s="15"/>
    </row>
    <row r="24" spans="1:106" ht="60" x14ac:dyDescent="0.25">
      <c r="A24" s="3">
        <v>23</v>
      </c>
      <c r="B24" s="3" t="s">
        <v>81</v>
      </c>
      <c r="C24" s="12" t="s">
        <v>82</v>
      </c>
      <c r="D24" s="1" t="s">
        <v>83</v>
      </c>
      <c r="E24" s="1" t="s">
        <v>84</v>
      </c>
      <c r="F24" s="3">
        <v>2</v>
      </c>
      <c r="G24" s="3">
        <v>0</v>
      </c>
      <c r="H24" s="9">
        <f>NETWORKDAYS(I24,J24,Праздники!A23:A24)*(F24+G24)</f>
        <v>10</v>
      </c>
      <c r="I24" s="6">
        <v>46343</v>
      </c>
      <c r="J24" s="6">
        <v>46349</v>
      </c>
      <c r="BP24" s="15"/>
      <c r="BQ24" s="15"/>
      <c r="BR24" s="15"/>
      <c r="BS24" s="15"/>
      <c r="BT24" s="15"/>
      <c r="BU24" s="15"/>
      <c r="BV24" s="15"/>
    </row>
    <row r="25" spans="1:106" ht="60" x14ac:dyDescent="0.25">
      <c r="A25" s="3">
        <v>24</v>
      </c>
      <c r="B25" s="3" t="s">
        <v>81</v>
      </c>
      <c r="C25" s="12" t="s">
        <v>85</v>
      </c>
      <c r="D25" s="1" t="s">
        <v>86</v>
      </c>
      <c r="E25" s="1" t="s">
        <v>87</v>
      </c>
      <c r="F25" s="3">
        <v>1</v>
      </c>
      <c r="G25" s="3">
        <v>2</v>
      </c>
      <c r="H25" s="9">
        <f>NETWORKDAYS(I25,J25,Праздники!A24:A25)*(F25+G25)</f>
        <v>21</v>
      </c>
      <c r="I25" s="6">
        <v>46364</v>
      </c>
      <c r="J25" s="6">
        <v>46372</v>
      </c>
      <c r="CK25" s="15"/>
      <c r="CL25" s="15"/>
      <c r="CM25" s="15"/>
      <c r="CN25" s="15"/>
      <c r="CO25" s="15"/>
      <c r="CP25" s="15"/>
      <c r="CQ25" s="15"/>
      <c r="CR25" s="15"/>
      <c r="CS25" s="15"/>
    </row>
    <row r="26" spans="1:106" ht="60" x14ac:dyDescent="0.25">
      <c r="A26" s="3">
        <v>25</v>
      </c>
      <c r="B26" s="3" t="s">
        <v>88</v>
      </c>
      <c r="C26" s="12" t="s">
        <v>89</v>
      </c>
      <c r="D26" s="1" t="s">
        <v>90</v>
      </c>
      <c r="E26" s="1" t="s">
        <v>91</v>
      </c>
      <c r="F26" s="3">
        <v>2</v>
      </c>
      <c r="G26" s="3">
        <v>0</v>
      </c>
      <c r="H26" s="9">
        <f>NETWORKDAYS(I26,J26,Праздники!A25:A26)*(F26+G26)</f>
        <v>8</v>
      </c>
      <c r="I26" s="6">
        <v>46350</v>
      </c>
      <c r="J26" s="6">
        <v>46353</v>
      </c>
      <c r="BW26" s="15"/>
      <c r="BX26" s="15"/>
      <c r="BY26" s="15"/>
      <c r="BZ26" s="15"/>
    </row>
    <row r="27" spans="1:106" ht="75" x14ac:dyDescent="0.25">
      <c r="A27" s="3">
        <v>26</v>
      </c>
      <c r="B27" s="3" t="s">
        <v>92</v>
      </c>
      <c r="C27" s="12" t="s">
        <v>93</v>
      </c>
      <c r="D27" s="1" t="s">
        <v>94</v>
      </c>
      <c r="E27" s="1" t="s">
        <v>95</v>
      </c>
      <c r="F27" s="3">
        <v>2</v>
      </c>
      <c r="G27" s="3">
        <v>1</v>
      </c>
      <c r="H27" s="9">
        <f>NETWORKDAYS(I27,J27,Праздники!A26:A27)*(F27+G27)</f>
        <v>12</v>
      </c>
      <c r="I27" s="6">
        <v>46373</v>
      </c>
      <c r="J27" s="6">
        <v>46378</v>
      </c>
      <c r="CT27" s="15"/>
      <c r="CU27" s="15"/>
      <c r="CV27" s="15"/>
      <c r="CW27" s="15"/>
      <c r="CX27" s="15"/>
      <c r="CY27" s="15"/>
    </row>
    <row r="28" spans="1:106" ht="75" x14ac:dyDescent="0.25">
      <c r="A28" s="3">
        <v>27</v>
      </c>
      <c r="B28" s="3" t="s">
        <v>92</v>
      </c>
      <c r="C28" s="12" t="s">
        <v>96</v>
      </c>
      <c r="D28" s="1" t="s">
        <v>105</v>
      </c>
      <c r="E28" s="1" t="s">
        <v>106</v>
      </c>
      <c r="F28" s="3">
        <v>2</v>
      </c>
      <c r="G28" s="3">
        <v>1</v>
      </c>
      <c r="H28" s="9">
        <f>NETWORKDAYS(I28,J28,Праздники!A27:A28)*(F28+G28)</f>
        <v>9</v>
      </c>
      <c r="I28" s="6">
        <v>46373</v>
      </c>
      <c r="J28" s="6">
        <v>46377</v>
      </c>
      <c r="CT28" s="15"/>
      <c r="CU28" s="15"/>
      <c r="CV28" s="15"/>
      <c r="CW28" s="15"/>
      <c r="CX28" s="15"/>
    </row>
    <row r="29" spans="1:106" ht="60" x14ac:dyDescent="0.25">
      <c r="A29" s="3">
        <v>28</v>
      </c>
      <c r="B29" s="3" t="s">
        <v>88</v>
      </c>
      <c r="C29" s="12" t="s">
        <v>97</v>
      </c>
      <c r="D29" s="1" t="s">
        <v>98</v>
      </c>
      <c r="E29" s="1" t="s">
        <v>99</v>
      </c>
      <c r="F29" s="3">
        <v>2</v>
      </c>
      <c r="G29" s="3">
        <v>1</v>
      </c>
      <c r="H29" s="9">
        <f>NETWORKDAYS(I29,J29,Праздники!A28:A29)*(F29+G29)</f>
        <v>6</v>
      </c>
      <c r="I29" s="6">
        <v>46379</v>
      </c>
      <c r="J29" s="6">
        <v>46380</v>
      </c>
      <c r="CZ29" s="15"/>
      <c r="DA29" s="15"/>
    </row>
    <row r="30" spans="1:106" ht="60" x14ac:dyDescent="0.25">
      <c r="A30" s="3">
        <v>29</v>
      </c>
      <c r="B30" s="3" t="s">
        <v>100</v>
      </c>
      <c r="C30" s="12" t="s">
        <v>101</v>
      </c>
      <c r="D30" s="1" t="s">
        <v>102</v>
      </c>
      <c r="E30" s="1" t="s">
        <v>103</v>
      </c>
      <c r="F30" s="3">
        <v>4</v>
      </c>
      <c r="G30" s="3">
        <v>0</v>
      </c>
      <c r="H30" s="9">
        <f>NETWORKDAYS(I30,J30,Праздники!A29:A30)*(F30+G30)</f>
        <v>4</v>
      </c>
      <c r="I30" s="6">
        <v>46381</v>
      </c>
      <c r="J30" s="6">
        <v>46381</v>
      </c>
      <c r="DB30" s="15"/>
    </row>
    <row r="31" spans="1:106" x14ac:dyDescent="0.25">
      <c r="H31" s="11">
        <f>SUM(H2:H30)</f>
        <v>273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51C9F-4565-46D4-B37A-DF0839EB03D9}">
  <dimension ref="A1:A2"/>
  <sheetViews>
    <sheetView workbookViewId="0">
      <selection sqref="A1:A1048576"/>
    </sheetView>
  </sheetViews>
  <sheetFormatPr defaultRowHeight="15" x14ac:dyDescent="0.25"/>
  <cols>
    <col min="1" max="1" width="10.140625" style="7" bestFit="1" customWidth="1"/>
  </cols>
  <sheetData>
    <row r="1" spans="1:1" x14ac:dyDescent="0.25">
      <c r="A1" s="7">
        <v>46330</v>
      </c>
    </row>
    <row r="2" spans="1:1" x14ac:dyDescent="0.25">
      <c r="A2" s="7">
        <v>46387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График разработки модулей</vt:lpstr>
      <vt:lpstr>Праздники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</dc:creator>
  <cp:lastModifiedBy>dev</cp:lastModifiedBy>
  <dcterms:created xsi:type="dcterms:W3CDTF">2015-06-05T18:17:20Z</dcterms:created>
  <dcterms:modified xsi:type="dcterms:W3CDTF">2026-09-06T13:42:42Z</dcterms:modified>
</cp:coreProperties>
</file>